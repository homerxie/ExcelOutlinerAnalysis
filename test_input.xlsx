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ezihong/Documents/Programming/ExcelDataAnalysis/examples/"/>
    </mc:Choice>
  </mc:AlternateContent>
  <xr:revisionPtr revIDLastSave="0" documentId="13_ncr:1_{19B2462B-AEB1-8C44-8D1B-97F545CABE55}" xr6:coauthVersionLast="47" xr6:coauthVersionMax="47" xr10:uidLastSave="{00000000-0000-0000-0000-000000000000}"/>
  <bookViews>
    <workbookView xWindow="0" yWindow="660" windowWidth="30240" windowHeight="17500" xr2:uid="{2086E790-0A6C-0642-BA4E-E376D7A91EE7}"/>
  </bookViews>
  <sheets>
    <sheet name="PC_ouyPut_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H35" i="1"/>
  <c r="G35" i="1"/>
  <c r="J34" i="1"/>
  <c r="I34" i="1"/>
  <c r="H34" i="1"/>
  <c r="J33" i="1"/>
  <c r="I33" i="1"/>
  <c r="H33" i="1"/>
  <c r="G33" i="1"/>
  <c r="F33" i="1"/>
  <c r="J32" i="1"/>
  <c r="I32" i="1"/>
  <c r="H32" i="1"/>
  <c r="D3" i="1"/>
  <c r="E3" i="1"/>
  <c r="F3" i="1"/>
  <c r="G3" i="1"/>
  <c r="H3" i="1"/>
  <c r="I3" i="1"/>
  <c r="J3" i="1"/>
  <c r="C3" i="1"/>
  <c r="I16" i="1"/>
  <c r="I24" i="1" s="1"/>
  <c r="I17" i="1"/>
  <c r="I25" i="1" s="1"/>
  <c r="I18" i="1"/>
  <c r="I26" i="1" s="1"/>
  <c r="I19" i="1"/>
  <c r="I20" i="1"/>
  <c r="I21" i="1"/>
  <c r="I22" i="1"/>
  <c r="I23" i="1"/>
  <c r="I31" i="1" s="1"/>
  <c r="I27" i="1"/>
  <c r="I28" i="1"/>
  <c r="I29" i="1"/>
  <c r="I30" i="1"/>
  <c r="D24" i="1"/>
  <c r="E24" i="1"/>
  <c r="F24" i="1"/>
  <c r="G24" i="1"/>
  <c r="H24" i="1"/>
  <c r="J24" i="1"/>
  <c r="D25" i="1"/>
  <c r="E25" i="1"/>
  <c r="D26" i="1"/>
  <c r="E26" i="1"/>
  <c r="F26" i="1"/>
  <c r="G26" i="1"/>
  <c r="H26" i="1"/>
  <c r="D27" i="1"/>
  <c r="E27" i="1"/>
  <c r="F27" i="1"/>
  <c r="D28" i="1"/>
  <c r="E28" i="1"/>
  <c r="F28" i="1"/>
  <c r="G28" i="1"/>
  <c r="D29" i="1"/>
  <c r="E29" i="1"/>
  <c r="F29" i="1"/>
  <c r="G29" i="1"/>
  <c r="H29" i="1"/>
  <c r="J29" i="1"/>
  <c r="D30" i="1"/>
  <c r="E30" i="1"/>
  <c r="F30" i="1"/>
  <c r="D31" i="1"/>
  <c r="E31" i="1"/>
  <c r="F31" i="1"/>
  <c r="C25" i="1"/>
  <c r="C26" i="1"/>
  <c r="C27" i="1"/>
  <c r="C28" i="1"/>
  <c r="C29" i="1"/>
  <c r="C30" i="1"/>
  <c r="C31" i="1"/>
  <c r="C24" i="1"/>
  <c r="G17" i="1"/>
  <c r="G25" i="1" s="1"/>
  <c r="H17" i="1"/>
  <c r="H25" i="1" s="1"/>
  <c r="J17" i="1"/>
  <c r="J25" i="1" s="1"/>
  <c r="G18" i="1"/>
  <c r="H18" i="1"/>
  <c r="J18" i="1"/>
  <c r="J26" i="1" s="1"/>
  <c r="G19" i="1"/>
  <c r="G27" i="1" s="1"/>
  <c r="H19" i="1"/>
  <c r="H27" i="1" s="1"/>
  <c r="J19" i="1"/>
  <c r="J27" i="1" s="1"/>
  <c r="G20" i="1"/>
  <c r="H20" i="1"/>
  <c r="H28" i="1" s="1"/>
  <c r="J20" i="1"/>
  <c r="J28" i="1" s="1"/>
  <c r="G21" i="1"/>
  <c r="H21" i="1"/>
  <c r="J21" i="1"/>
  <c r="G22" i="1"/>
  <c r="G30" i="1" s="1"/>
  <c r="H22" i="1"/>
  <c r="H30" i="1" s="1"/>
  <c r="J22" i="1"/>
  <c r="J30" i="1" s="1"/>
  <c r="G23" i="1"/>
  <c r="G31" i="1" s="1"/>
  <c r="H23" i="1"/>
  <c r="H31" i="1" s="1"/>
  <c r="J23" i="1"/>
  <c r="J31" i="1" s="1"/>
  <c r="H16" i="1"/>
  <c r="J16" i="1"/>
  <c r="G16" i="1"/>
  <c r="F17" i="1"/>
  <c r="F25" i="1" s="1"/>
</calcChain>
</file>

<file path=xl/sharedStrings.xml><?xml version="1.0" encoding="utf-8"?>
<sst xmlns="http://schemas.openxmlformats.org/spreadsheetml/2006/main" count="48" uniqueCount="41">
  <si>
    <t>File</t>
    <phoneticPr fontId="1" type="noConversion"/>
  </si>
  <si>
    <t>SITE</t>
    <phoneticPr fontId="1" type="noConversion"/>
  </si>
  <si>
    <t>ohm</t>
    <phoneticPr fontId="1" type="noConversion"/>
  </si>
  <si>
    <t>ABC_LOT1_Node1_S1.result</t>
    <phoneticPr fontId="1" type="noConversion"/>
  </si>
  <si>
    <t>ABC_LOT1_Node1_S2.result</t>
    <phoneticPr fontId="1" type="noConversion"/>
  </si>
  <si>
    <t>ABC_LOT1_Node1_S2_1.result</t>
    <phoneticPr fontId="1" type="noConversion"/>
  </si>
  <si>
    <t>ABC_LOT2_Node1_3_2.result</t>
    <phoneticPr fontId="1" type="noConversion"/>
  </si>
  <si>
    <t>ABC_LOT2_Node1_3_1.result</t>
    <phoneticPr fontId="1" type="noConversion"/>
  </si>
  <si>
    <t>ABC_LOT1_Node1_3.result</t>
    <phoneticPr fontId="1" type="noConversion"/>
  </si>
  <si>
    <t>ABC_LOT1_Node1_S2_2.result</t>
    <phoneticPr fontId="1" type="noConversion"/>
  </si>
  <si>
    <t>TestType1:Chain1@Rep1</t>
    <phoneticPr fontId="1" type="noConversion"/>
  </si>
  <si>
    <t>TestType2:Chain1@Rep1</t>
    <phoneticPr fontId="1" type="noConversion"/>
  </si>
  <si>
    <t>A</t>
  </si>
  <si>
    <t>A</t>
    <phoneticPr fontId="1" type="noConversion"/>
  </si>
  <si>
    <t>TestType1:Chain2@Rep1</t>
    <phoneticPr fontId="1" type="noConversion"/>
  </si>
  <si>
    <t>TestType2:Chain2@Rep1</t>
    <phoneticPr fontId="1" type="noConversion"/>
  </si>
  <si>
    <t>ABC_LOT1_Node2_S1.result</t>
  </si>
  <si>
    <t>ABC_LOT1_Node2_S2.result</t>
  </si>
  <si>
    <t>ABC_LOT1_Node2_S2_1.result</t>
  </si>
  <si>
    <t>ABC_LOT1_Node2_S2_2.result</t>
  </si>
  <si>
    <t>ABC_LOT1_Node2_3.result</t>
  </si>
  <si>
    <t>ABC_LOT2_Node2_3_1.result</t>
  </si>
  <si>
    <t>ABC_LOT2_Node2_3_2.result</t>
  </si>
  <si>
    <t>ABC_LOT3_Node1_DUM1.result</t>
    <phoneticPr fontId="1" type="noConversion"/>
  </si>
  <si>
    <t>ABC_LOT3_Node1_DUM2.result</t>
  </si>
  <si>
    <t>ABC_LOT3_Node1_DUM3.result</t>
  </si>
  <si>
    <t>ABC_LOT3_Node1_DUM4.result</t>
  </si>
  <si>
    <t>ABC_LOT3_Node1_DUM5.result</t>
  </si>
  <si>
    <t>ABC_LOT3_Node1_DUM6.result</t>
  </si>
  <si>
    <t>ABC_LOT3_Node1_DUM7.result</t>
  </si>
  <si>
    <t>ABC_LOT3_Node1_DUM8.result</t>
  </si>
  <si>
    <t>ABC_LOT3_Node1_DUM9.result</t>
  </si>
  <si>
    <t>ABC_LOT3_Node1_DUM10.result</t>
  </si>
  <si>
    <t>TestType1:Chain1@Rep2</t>
    <phoneticPr fontId="1" type="noConversion"/>
  </si>
  <si>
    <t>TestType1:Chain2@Rep2</t>
    <phoneticPr fontId="1" type="noConversion"/>
  </si>
  <si>
    <t>TestType2:Chain1@Rep2</t>
    <phoneticPr fontId="1" type="noConversion"/>
  </si>
  <si>
    <t>TestType2:Chain2@Rep2</t>
    <phoneticPr fontId="1" type="noConversion"/>
  </si>
  <si>
    <t>ABC_LOT1_Node1_S3.result</t>
    <phoneticPr fontId="1" type="noConversion"/>
  </si>
  <si>
    <t>ABC_LOT1_Node1_S4.result</t>
    <phoneticPr fontId="1" type="noConversion"/>
  </si>
  <si>
    <t>ABC_LOT1_Node1_S3_1.result</t>
    <phoneticPr fontId="1" type="noConversion"/>
  </si>
  <si>
    <t>ABC_LOT1_Node1_S4_2.result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</si>
</sst>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A684-9AAA-624C-86FA-9C9D4EA0E05C}">
  <dimension ref="A1:R35"/>
  <sheetViews>
    <sheetView tabSelected="1" workbookViewId="0">
      <selection activeCell="I36" sqref="I36"/>
    </sheetView>
  </sheetViews>
  <sheetFormatPr baseColWidth="10" defaultRowHeight="16"/>
  <cols>
    <col min="1" max="1" width="53" bestFit="1" customWidth="1"/>
    <col min="3" max="5" width="24.83203125" bestFit="1" customWidth="1"/>
    <col min="6" max="6" width="24.5" bestFit="1" customWidth="1"/>
  </cols>
  <sheetData>
    <row r="1" spans="1:18" ht="51">
      <c r="C1" s="2" t="s">
        <v>10</v>
      </c>
      <c r="D1" s="2" t="s">
        <v>14</v>
      </c>
      <c r="E1" s="2" t="s">
        <v>11</v>
      </c>
      <c r="F1" s="3" t="s">
        <v>15</v>
      </c>
      <c r="G1" s="2" t="s">
        <v>33</v>
      </c>
      <c r="H1" s="2" t="s">
        <v>34</v>
      </c>
      <c r="I1" s="2" t="s">
        <v>35</v>
      </c>
      <c r="J1" s="3" t="s">
        <v>36</v>
      </c>
      <c r="K1" s="2"/>
      <c r="L1" s="2"/>
      <c r="M1" s="2"/>
      <c r="N1" s="3"/>
      <c r="O1" s="2"/>
      <c r="P1" s="2"/>
      <c r="Q1" s="2"/>
      <c r="R1" s="3"/>
    </row>
    <row r="2" spans="1:18">
      <c r="C2">
        <v>322787.20000000001</v>
      </c>
      <c r="D2">
        <v>322787.20000000001</v>
      </c>
      <c r="F2" s="1"/>
      <c r="G2">
        <v>322787.20000000001</v>
      </c>
      <c r="H2">
        <v>322787.20000000001</v>
      </c>
      <c r="J2" s="1"/>
      <c r="N2" s="1"/>
      <c r="R2" s="1"/>
    </row>
    <row r="3" spans="1:18">
      <c r="C3">
        <f>MEDIAN(C6:C23)</f>
        <v>363714</v>
      </c>
      <c r="D3">
        <f t="shared" ref="D3:J3" si="0">MEDIAN(D6:D23)</f>
        <v>801814</v>
      </c>
      <c r="E3">
        <f t="shared" si="0"/>
        <v>0</v>
      </c>
      <c r="F3">
        <f t="shared" si="0"/>
        <v>-1.7500000000000002E-2</v>
      </c>
      <c r="G3">
        <f t="shared" si="0"/>
        <v>400085.4</v>
      </c>
      <c r="H3">
        <f t="shared" si="0"/>
        <v>881995.40000000014</v>
      </c>
      <c r="I3">
        <f t="shared" si="0"/>
        <v>1.6500000000000022E-4</v>
      </c>
      <c r="J3">
        <f t="shared" si="0"/>
        <v>-1.9250000000000003E-2</v>
      </c>
    </row>
    <row r="4" spans="1:18">
      <c r="C4" t="s">
        <v>2</v>
      </c>
      <c r="D4" t="s">
        <v>2</v>
      </c>
      <c r="E4" t="s">
        <v>13</v>
      </c>
      <c r="F4" s="1" t="s">
        <v>12</v>
      </c>
      <c r="G4" t="s">
        <v>2</v>
      </c>
      <c r="H4" t="s">
        <v>2</v>
      </c>
      <c r="I4" t="s">
        <v>13</v>
      </c>
      <c r="J4" s="1" t="s">
        <v>12</v>
      </c>
      <c r="N4" s="1"/>
      <c r="R4" s="1"/>
    </row>
    <row r="5" spans="1:18">
      <c r="A5" t="s">
        <v>0</v>
      </c>
      <c r="B5" t="s">
        <v>1</v>
      </c>
      <c r="C5">
        <v>29999912</v>
      </c>
      <c r="D5">
        <v>29999912</v>
      </c>
      <c r="E5">
        <v>0</v>
      </c>
      <c r="F5" s="1">
        <v>0</v>
      </c>
      <c r="N5" s="1"/>
    </row>
    <row r="6" spans="1:18">
      <c r="A6" t="s">
        <v>23</v>
      </c>
      <c r="B6">
        <v>1</v>
      </c>
      <c r="C6">
        <v>363714</v>
      </c>
      <c r="D6">
        <v>801814</v>
      </c>
      <c r="E6">
        <v>0</v>
      </c>
      <c r="F6">
        <v>-1.7500000000000002E-2</v>
      </c>
      <c r="G6">
        <v>400085.4</v>
      </c>
      <c r="H6">
        <v>881995.40000000014</v>
      </c>
      <c r="I6">
        <v>1.6500000000000022E-4</v>
      </c>
      <c r="J6">
        <v>-1.9250000000000003E-2</v>
      </c>
    </row>
    <row r="7" spans="1:18">
      <c r="A7" t="s">
        <v>24</v>
      </c>
      <c r="B7">
        <v>1</v>
      </c>
      <c r="C7">
        <v>363714</v>
      </c>
      <c r="D7">
        <v>801814</v>
      </c>
      <c r="E7">
        <v>0</v>
      </c>
      <c r="F7">
        <v>-1.7500000000000002E-2</v>
      </c>
      <c r="G7">
        <v>400085.4</v>
      </c>
      <c r="H7">
        <v>881995.40000000014</v>
      </c>
      <c r="I7">
        <v>1.6500000000000022E-4</v>
      </c>
      <c r="J7">
        <v>-1.9250000000000003E-2</v>
      </c>
    </row>
    <row r="8" spans="1:18">
      <c r="A8" t="s">
        <v>25</v>
      </c>
      <c r="B8">
        <v>1</v>
      </c>
      <c r="C8">
        <v>363714</v>
      </c>
      <c r="D8">
        <v>801814</v>
      </c>
      <c r="E8">
        <v>0</v>
      </c>
      <c r="F8">
        <v>-1.7500000000000002E-2</v>
      </c>
      <c r="G8">
        <v>400085.4</v>
      </c>
      <c r="H8">
        <v>881995.40000000014</v>
      </c>
      <c r="I8">
        <v>1.6500000000000022E-4</v>
      </c>
      <c r="J8">
        <v>-1.9250000000000003E-2</v>
      </c>
    </row>
    <row r="9" spans="1:18">
      <c r="A9" t="s">
        <v>26</v>
      </c>
      <c r="B9">
        <v>1</v>
      </c>
      <c r="C9">
        <v>363714</v>
      </c>
      <c r="D9">
        <v>801814</v>
      </c>
      <c r="E9">
        <v>0</v>
      </c>
      <c r="F9">
        <v>-1.7500000000000002E-2</v>
      </c>
      <c r="G9">
        <v>400085.4</v>
      </c>
      <c r="H9">
        <v>881995.40000000014</v>
      </c>
      <c r="I9">
        <v>1.6500000000000022E-4</v>
      </c>
      <c r="J9">
        <v>-1.9250000000000003E-2</v>
      </c>
    </row>
    <row r="10" spans="1:18">
      <c r="A10" t="s">
        <v>27</v>
      </c>
      <c r="B10">
        <v>1</v>
      </c>
      <c r="C10">
        <v>363714</v>
      </c>
      <c r="D10">
        <v>801814</v>
      </c>
      <c r="E10">
        <v>0</v>
      </c>
      <c r="F10">
        <v>-1.7500000000000002E-2</v>
      </c>
      <c r="G10">
        <v>400085.4</v>
      </c>
      <c r="H10">
        <v>881995.40000000014</v>
      </c>
      <c r="I10">
        <v>1.6500000000000022E-4</v>
      </c>
      <c r="J10">
        <v>-1.9250000000000003E-2</v>
      </c>
    </row>
    <row r="11" spans="1:18">
      <c r="A11" t="s">
        <v>28</v>
      </c>
      <c r="B11">
        <v>1</v>
      </c>
      <c r="C11">
        <v>363714</v>
      </c>
      <c r="D11">
        <v>801814</v>
      </c>
      <c r="E11">
        <v>0</v>
      </c>
      <c r="F11">
        <v>-1.7500000000000002E-2</v>
      </c>
      <c r="G11">
        <v>400085.4</v>
      </c>
      <c r="H11">
        <v>881995.40000000014</v>
      </c>
      <c r="I11">
        <v>1.6500000000000022E-4</v>
      </c>
      <c r="J11">
        <v>-1.9250000000000003E-2</v>
      </c>
    </row>
    <row r="12" spans="1:18">
      <c r="A12" t="s">
        <v>29</v>
      </c>
      <c r="B12">
        <v>1</v>
      </c>
      <c r="C12">
        <v>363714</v>
      </c>
      <c r="D12">
        <v>801814</v>
      </c>
      <c r="E12">
        <v>0</v>
      </c>
      <c r="F12">
        <v>-1.7500000000000002E-2</v>
      </c>
      <c r="G12">
        <v>400085.4</v>
      </c>
      <c r="H12">
        <v>881995.40000000014</v>
      </c>
      <c r="I12">
        <v>1.6500000000000022E-4</v>
      </c>
      <c r="J12">
        <v>-1.9250000000000003E-2</v>
      </c>
    </row>
    <row r="13" spans="1:18">
      <c r="A13" t="s">
        <v>30</v>
      </c>
      <c r="B13">
        <v>1</v>
      </c>
      <c r="C13">
        <v>363714</v>
      </c>
      <c r="D13">
        <v>801814</v>
      </c>
      <c r="E13">
        <v>0</v>
      </c>
      <c r="F13">
        <v>-1.7500000000000002E-2</v>
      </c>
      <c r="G13">
        <v>400085.4</v>
      </c>
      <c r="H13">
        <v>881995.40000000014</v>
      </c>
      <c r="I13">
        <v>1.6500000000000022E-4</v>
      </c>
      <c r="J13">
        <v>-1.9250000000000003E-2</v>
      </c>
    </row>
    <row r="14" spans="1:18">
      <c r="A14" t="s">
        <v>31</v>
      </c>
      <c r="B14">
        <v>1</v>
      </c>
      <c r="C14">
        <v>363714</v>
      </c>
      <c r="D14">
        <v>801814</v>
      </c>
      <c r="E14">
        <v>0</v>
      </c>
      <c r="F14">
        <v>-1.7500000000000002E-2</v>
      </c>
      <c r="G14">
        <v>400085.4</v>
      </c>
      <c r="H14">
        <v>881995.40000000014</v>
      </c>
      <c r="I14">
        <v>1.6500000000000022E-4</v>
      </c>
      <c r="J14">
        <v>-1.9250000000000003E-2</v>
      </c>
    </row>
    <row r="15" spans="1:18">
      <c r="A15" t="s">
        <v>32</v>
      </c>
      <c r="B15">
        <v>1</v>
      </c>
      <c r="C15">
        <v>363714</v>
      </c>
      <c r="D15">
        <v>801814</v>
      </c>
      <c r="E15">
        <v>0</v>
      </c>
      <c r="F15">
        <v>-1.7500000000000002E-2</v>
      </c>
      <c r="G15">
        <v>400085.4</v>
      </c>
      <c r="H15">
        <v>881995.40000000014</v>
      </c>
      <c r="I15">
        <v>1.6500000000000022E-4</v>
      </c>
      <c r="J15">
        <v>-1.9250000000000003E-2</v>
      </c>
    </row>
    <row r="16" spans="1:18">
      <c r="A16" t="s">
        <v>3</v>
      </c>
      <c r="B16">
        <v>1</v>
      </c>
      <c r="C16">
        <v>381210</v>
      </c>
      <c r="D16">
        <v>789292</v>
      </c>
      <c r="E16">
        <v>1.2E-2</v>
      </c>
      <c r="F16" s="1">
        <v>-0.1</v>
      </c>
      <c r="G16">
        <f>C16*1.1</f>
        <v>419331.00000000006</v>
      </c>
      <c r="H16">
        <f t="shared" ref="H16:J16" si="1">D16*1.1</f>
        <v>868221.20000000007</v>
      </c>
      <c r="I16">
        <f t="shared" si="1"/>
        <v>1.3200000000000002E-2</v>
      </c>
      <c r="J16">
        <f t="shared" si="1"/>
        <v>-0.11000000000000001</v>
      </c>
      <c r="N16" s="1"/>
    </row>
    <row r="17" spans="1:14">
      <c r="A17" t="s">
        <v>4</v>
      </c>
      <c r="B17">
        <v>1</v>
      </c>
      <c r="C17">
        <v>359557</v>
      </c>
      <c r="D17">
        <v>821783</v>
      </c>
      <c r="E17">
        <v>0.121</v>
      </c>
      <c r="F17" s="1">
        <f>-0.012</f>
        <v>-1.2E-2</v>
      </c>
      <c r="G17">
        <f t="shared" ref="G17:G23" si="2">C17*1.1</f>
        <v>395512.7</v>
      </c>
      <c r="H17">
        <f t="shared" ref="H17:H23" si="3">D17*1.1</f>
        <v>903961.3</v>
      </c>
      <c r="I17">
        <f t="shared" ref="I17:I23" si="4">E17*1.1</f>
        <v>0.1331</v>
      </c>
      <c r="J17">
        <f t="shared" ref="J17:J23" si="5">F17*1.1</f>
        <v>-1.3200000000000002E-2</v>
      </c>
      <c r="N17" s="1"/>
    </row>
    <row r="18" spans="1:14">
      <c r="A18" t="s">
        <v>5</v>
      </c>
      <c r="B18">
        <v>1</v>
      </c>
      <c r="C18">
        <v>359557</v>
      </c>
      <c r="D18">
        <v>789190</v>
      </c>
      <c r="E18">
        <v>1.2999999999999999E-2</v>
      </c>
      <c r="F18" s="1">
        <v>3.2000000000000001E-2</v>
      </c>
      <c r="G18">
        <f t="shared" si="2"/>
        <v>395512.7</v>
      </c>
      <c r="H18">
        <f t="shared" si="3"/>
        <v>868109.00000000012</v>
      </c>
      <c r="I18">
        <f t="shared" si="4"/>
        <v>1.43E-2</v>
      </c>
      <c r="J18">
        <f t="shared" si="5"/>
        <v>3.5200000000000002E-2</v>
      </c>
      <c r="N18" s="1"/>
    </row>
    <row r="19" spans="1:14">
      <c r="A19" t="s">
        <v>9</v>
      </c>
      <c r="B19">
        <v>1</v>
      </c>
      <c r="C19">
        <v>356922</v>
      </c>
      <c r="D19">
        <v>767291</v>
      </c>
      <c r="E19">
        <v>4.0000000000000001E-3</v>
      </c>
      <c r="F19" s="1">
        <v>-0.128</v>
      </c>
      <c r="G19">
        <f t="shared" si="2"/>
        <v>392614.2</v>
      </c>
      <c r="H19">
        <f t="shared" si="3"/>
        <v>844020.10000000009</v>
      </c>
      <c r="I19">
        <f t="shared" si="4"/>
        <v>4.4000000000000003E-3</v>
      </c>
      <c r="J19">
        <f t="shared" si="5"/>
        <v>-0.14080000000000001</v>
      </c>
      <c r="N19" s="1"/>
    </row>
    <row r="20" spans="1:14">
      <c r="A20" t="s">
        <v>8</v>
      </c>
      <c r="B20">
        <v>1</v>
      </c>
      <c r="C20">
        <v>367871</v>
      </c>
      <c r="D20">
        <v>812390</v>
      </c>
      <c r="E20">
        <v>-2.3E-2</v>
      </c>
      <c r="F20" s="1">
        <v>-2.3E-2</v>
      </c>
      <c r="G20">
        <f t="shared" si="2"/>
        <v>404658.10000000003</v>
      </c>
      <c r="H20">
        <f t="shared" si="3"/>
        <v>893629.00000000012</v>
      </c>
      <c r="I20">
        <f t="shared" si="4"/>
        <v>-2.5300000000000003E-2</v>
      </c>
      <c r="J20">
        <f t="shared" si="5"/>
        <v>-2.5300000000000003E-2</v>
      </c>
      <c r="N20" s="1"/>
    </row>
    <row r="21" spans="1:14">
      <c r="A21" t="s">
        <v>7</v>
      </c>
      <c r="B21">
        <v>1</v>
      </c>
      <c r="C21">
        <v>388910</v>
      </c>
      <c r="D21">
        <v>791238</v>
      </c>
      <c r="E21">
        <v>-4.3E-3</v>
      </c>
      <c r="F21" s="1">
        <v>0.32</v>
      </c>
      <c r="G21">
        <f t="shared" si="2"/>
        <v>427801.00000000006</v>
      </c>
      <c r="H21">
        <f t="shared" si="3"/>
        <v>870361.8</v>
      </c>
      <c r="I21">
        <f t="shared" si="4"/>
        <v>-4.7300000000000007E-3</v>
      </c>
      <c r="J21">
        <f t="shared" si="5"/>
        <v>0.35200000000000004</v>
      </c>
      <c r="N21" s="1"/>
    </row>
    <row r="22" spans="1:14">
      <c r="A22" t="s">
        <v>6</v>
      </c>
      <c r="B22">
        <v>1</v>
      </c>
      <c r="C22">
        <v>310980</v>
      </c>
      <c r="D22">
        <v>819310</v>
      </c>
      <c r="E22">
        <v>-3.4000000000000002E-2</v>
      </c>
      <c r="F22" s="1">
        <v>-0.9</v>
      </c>
      <c r="G22">
        <f t="shared" si="2"/>
        <v>342078</v>
      </c>
      <c r="H22">
        <f t="shared" si="3"/>
        <v>901241.00000000012</v>
      </c>
      <c r="I22">
        <f t="shared" si="4"/>
        <v>-3.7400000000000003E-2</v>
      </c>
      <c r="J22">
        <f t="shared" si="5"/>
        <v>-0.9900000000000001</v>
      </c>
      <c r="N22" s="1"/>
    </row>
    <row r="23" spans="1:14">
      <c r="A23" t="s">
        <v>6</v>
      </c>
      <c r="B23">
        <v>1</v>
      </c>
      <c r="C23">
        <v>378901</v>
      </c>
      <c r="D23">
        <v>1000232</v>
      </c>
      <c r="E23">
        <v>-0.23400000000000001</v>
      </c>
      <c r="F23" s="1">
        <v>-1.2E-2</v>
      </c>
      <c r="G23">
        <f t="shared" si="2"/>
        <v>416791.10000000003</v>
      </c>
      <c r="H23">
        <f t="shared" si="3"/>
        <v>1100255.2000000002</v>
      </c>
      <c r="I23">
        <f t="shared" si="4"/>
        <v>-0.25740000000000002</v>
      </c>
      <c r="J23">
        <f t="shared" si="5"/>
        <v>-1.3200000000000002E-2</v>
      </c>
      <c r="N23" s="1"/>
    </row>
    <row r="24" spans="1:14">
      <c r="A24" t="s">
        <v>16</v>
      </c>
      <c r="B24">
        <v>1</v>
      </c>
      <c r="C24">
        <f>C16*0.9</f>
        <v>343089</v>
      </c>
      <c r="D24">
        <f t="shared" ref="D24:J24" si="6">D16*0.9</f>
        <v>710362.8</v>
      </c>
      <c r="E24">
        <f t="shared" si="6"/>
        <v>1.0800000000000001E-2</v>
      </c>
      <c r="F24">
        <f t="shared" si="6"/>
        <v>-9.0000000000000011E-2</v>
      </c>
      <c r="G24">
        <f t="shared" si="6"/>
        <v>377397.90000000008</v>
      </c>
      <c r="H24">
        <f t="shared" si="6"/>
        <v>781399.08000000007</v>
      </c>
      <c r="I24">
        <f t="shared" si="6"/>
        <v>1.1880000000000002E-2</v>
      </c>
      <c r="J24">
        <f t="shared" si="6"/>
        <v>-9.9000000000000019E-2</v>
      </c>
    </row>
    <row r="25" spans="1:14">
      <c r="A25" t="s">
        <v>17</v>
      </c>
      <c r="B25">
        <v>1</v>
      </c>
      <c r="C25">
        <f t="shared" ref="C25:J31" si="7">C17*0.9</f>
        <v>323601.3</v>
      </c>
      <c r="D25">
        <f t="shared" si="7"/>
        <v>739604.70000000007</v>
      </c>
      <c r="E25">
        <f t="shared" si="7"/>
        <v>0.1089</v>
      </c>
      <c r="F25">
        <f t="shared" si="7"/>
        <v>-1.0800000000000001E-2</v>
      </c>
      <c r="G25">
        <f t="shared" si="7"/>
        <v>355961.43</v>
      </c>
      <c r="H25">
        <f t="shared" si="7"/>
        <v>813565.17</v>
      </c>
      <c r="I25">
        <f t="shared" si="7"/>
        <v>0.11978999999999999</v>
      </c>
      <c r="J25">
        <f t="shared" si="7"/>
        <v>-1.1880000000000002E-2</v>
      </c>
    </row>
    <row r="26" spans="1:14">
      <c r="A26" t="s">
        <v>18</v>
      </c>
      <c r="B26">
        <v>1</v>
      </c>
      <c r="C26">
        <f t="shared" si="7"/>
        <v>323601.3</v>
      </c>
      <c r="D26">
        <f t="shared" si="7"/>
        <v>710271</v>
      </c>
      <c r="E26">
        <f t="shared" si="7"/>
        <v>1.17E-2</v>
      </c>
      <c r="F26">
        <f t="shared" si="7"/>
        <v>2.8800000000000003E-2</v>
      </c>
      <c r="G26">
        <f t="shared" si="7"/>
        <v>355961.43</v>
      </c>
      <c r="H26">
        <f t="shared" si="7"/>
        <v>781298.10000000009</v>
      </c>
      <c r="I26">
        <f t="shared" si="7"/>
        <v>1.2870000000000001E-2</v>
      </c>
      <c r="J26">
        <f t="shared" si="7"/>
        <v>3.168E-2</v>
      </c>
    </row>
    <row r="27" spans="1:14">
      <c r="A27" t="s">
        <v>19</v>
      </c>
      <c r="B27">
        <v>1</v>
      </c>
      <c r="C27">
        <f t="shared" si="7"/>
        <v>321229.8</v>
      </c>
      <c r="D27">
        <f t="shared" si="7"/>
        <v>690561.9</v>
      </c>
      <c r="E27">
        <f t="shared" si="7"/>
        <v>3.6000000000000003E-3</v>
      </c>
      <c r="F27">
        <f t="shared" si="7"/>
        <v>-0.11520000000000001</v>
      </c>
      <c r="G27">
        <f t="shared" si="7"/>
        <v>353352.78</v>
      </c>
      <c r="H27">
        <f t="shared" si="7"/>
        <v>759618.09000000008</v>
      </c>
      <c r="I27">
        <f t="shared" si="7"/>
        <v>3.96E-3</v>
      </c>
      <c r="J27">
        <f t="shared" si="7"/>
        <v>-0.12672</v>
      </c>
    </row>
    <row r="28" spans="1:14">
      <c r="A28" t="s">
        <v>20</v>
      </c>
      <c r="B28">
        <v>1</v>
      </c>
      <c r="C28">
        <f t="shared" si="7"/>
        <v>331083.90000000002</v>
      </c>
      <c r="D28">
        <f t="shared" si="7"/>
        <v>731151</v>
      </c>
      <c r="E28">
        <f t="shared" si="7"/>
        <v>-2.07E-2</v>
      </c>
      <c r="F28">
        <f t="shared" si="7"/>
        <v>-2.07E-2</v>
      </c>
      <c r="G28">
        <f t="shared" si="7"/>
        <v>364192.29000000004</v>
      </c>
      <c r="H28">
        <f t="shared" si="7"/>
        <v>804266.10000000009</v>
      </c>
      <c r="I28">
        <f t="shared" si="7"/>
        <v>-2.2770000000000002E-2</v>
      </c>
      <c r="J28">
        <f t="shared" si="7"/>
        <v>-2.2770000000000002E-2</v>
      </c>
    </row>
    <row r="29" spans="1:14">
      <c r="A29" t="s">
        <v>21</v>
      </c>
      <c r="B29">
        <v>1</v>
      </c>
      <c r="C29">
        <f t="shared" si="7"/>
        <v>350019</v>
      </c>
      <c r="D29">
        <f t="shared" si="7"/>
        <v>712114.20000000007</v>
      </c>
      <c r="E29">
        <f t="shared" si="7"/>
        <v>-3.8700000000000002E-3</v>
      </c>
      <c r="F29">
        <f t="shared" si="7"/>
        <v>0.28800000000000003</v>
      </c>
      <c r="G29">
        <f t="shared" si="7"/>
        <v>385020.90000000008</v>
      </c>
      <c r="H29">
        <f t="shared" si="7"/>
        <v>783325.62000000011</v>
      </c>
      <c r="I29">
        <f t="shared" si="7"/>
        <v>-4.2570000000000004E-3</v>
      </c>
      <c r="J29">
        <f t="shared" si="7"/>
        <v>0.31680000000000003</v>
      </c>
    </row>
    <row r="30" spans="1:14">
      <c r="A30" t="s">
        <v>22</v>
      </c>
      <c r="B30">
        <v>1</v>
      </c>
      <c r="C30">
        <f t="shared" si="7"/>
        <v>279882</v>
      </c>
      <c r="D30">
        <f t="shared" si="7"/>
        <v>737379</v>
      </c>
      <c r="E30">
        <f t="shared" si="7"/>
        <v>-3.0600000000000002E-2</v>
      </c>
      <c r="F30">
        <f t="shared" si="7"/>
        <v>-0.81</v>
      </c>
      <c r="G30">
        <f t="shared" si="7"/>
        <v>307870.2</v>
      </c>
      <c r="H30">
        <f t="shared" si="7"/>
        <v>811116.90000000014</v>
      </c>
      <c r="I30">
        <f t="shared" si="7"/>
        <v>-3.3660000000000002E-2</v>
      </c>
      <c r="J30">
        <f t="shared" si="7"/>
        <v>-0.89100000000000013</v>
      </c>
    </row>
    <row r="31" spans="1:14">
      <c r="A31" t="s">
        <v>22</v>
      </c>
      <c r="B31">
        <v>1</v>
      </c>
      <c r="C31">
        <f t="shared" si="7"/>
        <v>341010.9</v>
      </c>
      <c r="D31">
        <f t="shared" si="7"/>
        <v>900208.8</v>
      </c>
      <c r="E31">
        <f t="shared" si="7"/>
        <v>-0.21060000000000001</v>
      </c>
      <c r="F31">
        <f t="shared" si="7"/>
        <v>-1.0800000000000001E-2</v>
      </c>
      <c r="G31">
        <f t="shared" si="7"/>
        <v>375111.99000000005</v>
      </c>
      <c r="H31">
        <f t="shared" si="7"/>
        <v>990229.68000000017</v>
      </c>
      <c r="I31">
        <f t="shared" si="7"/>
        <v>-0.23166000000000003</v>
      </c>
      <c r="J31">
        <f t="shared" si="7"/>
        <v>-1.1880000000000002E-2</v>
      </c>
    </row>
    <row r="32" spans="1:14">
      <c r="A32" t="s">
        <v>37</v>
      </c>
      <c r="B32">
        <v>1</v>
      </c>
      <c r="C32">
        <v>190000</v>
      </c>
      <c r="D32">
        <v>789292</v>
      </c>
      <c r="E32">
        <v>1.2E-2</v>
      </c>
      <c r="F32" s="1">
        <v>-0.1</v>
      </c>
      <c r="G32">
        <v>190002</v>
      </c>
      <c r="H32">
        <f t="shared" ref="H32:H35" si="8">D32*1.1</f>
        <v>868221.20000000007</v>
      </c>
      <c r="I32">
        <f t="shared" ref="I32:I35" si="9">E32*1.1</f>
        <v>1.3200000000000002E-2</v>
      </c>
      <c r="J32">
        <f t="shared" ref="J32:J35" si="10">F32*1.1</f>
        <v>-0.11000000000000001</v>
      </c>
    </row>
    <row r="33" spans="1:10">
      <c r="A33" t="s">
        <v>38</v>
      </c>
      <c r="B33">
        <v>1</v>
      </c>
      <c r="C33">
        <v>359557</v>
      </c>
      <c r="D33">
        <v>821783</v>
      </c>
      <c r="E33">
        <v>0.5</v>
      </c>
      <c r="F33" s="1">
        <f>-0.012</f>
        <v>-1.2E-2</v>
      </c>
      <c r="G33">
        <f t="shared" ref="G33:G35" si="11">C33*1.1</f>
        <v>395512.7</v>
      </c>
      <c r="H33">
        <f t="shared" si="8"/>
        <v>903961.3</v>
      </c>
      <c r="I33">
        <f t="shared" si="9"/>
        <v>0.55000000000000004</v>
      </c>
      <c r="J33">
        <f t="shared" si="10"/>
        <v>-1.3200000000000002E-2</v>
      </c>
    </row>
    <row r="34" spans="1:10">
      <c r="A34" t="s">
        <v>39</v>
      </c>
      <c r="B34">
        <v>1</v>
      </c>
      <c r="C34">
        <v>190001</v>
      </c>
      <c r="D34">
        <v>789190</v>
      </c>
      <c r="E34">
        <v>1.2999999999999999E-2</v>
      </c>
      <c r="F34" s="1">
        <v>3.2000000000000001E-2</v>
      </c>
      <c r="G34">
        <v>398932</v>
      </c>
      <c r="H34">
        <f t="shared" si="8"/>
        <v>868109.00000000012</v>
      </c>
      <c r="I34">
        <f t="shared" si="9"/>
        <v>1.43E-2</v>
      </c>
      <c r="J34">
        <f t="shared" si="10"/>
        <v>3.5200000000000002E-2</v>
      </c>
    </row>
    <row r="35" spans="1:10">
      <c r="A35" t="s">
        <v>40</v>
      </c>
      <c r="B35">
        <v>1</v>
      </c>
      <c r="C35">
        <v>356922</v>
      </c>
      <c r="D35">
        <v>767291</v>
      </c>
      <c r="E35">
        <v>4.0000000000000001E-3</v>
      </c>
      <c r="F35" s="1">
        <v>-0.128</v>
      </c>
      <c r="G35">
        <f t="shared" si="11"/>
        <v>392614.2</v>
      </c>
      <c r="H35">
        <f t="shared" si="8"/>
        <v>844020.10000000009</v>
      </c>
      <c r="I35">
        <v>0.5</v>
      </c>
      <c r="J35">
        <f t="shared" si="10"/>
        <v>-0.14080000000000001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PC_ouyPut_LOG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谢子鸿</dc:creator>
  <cp:lastModifiedBy>谢子鸿</cp:lastModifiedBy>
  <dcterms:created xsi:type="dcterms:W3CDTF">2026-04-04T14:49:34Z</dcterms:created>
  <dcterms:modified xsi:type="dcterms:W3CDTF">2026-04-09T05:31:03Z</dcterms:modified>
</cp:coreProperties>
</file>